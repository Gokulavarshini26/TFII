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ownloads\"/>
    </mc:Choice>
  </mc:AlternateContent>
  <xr:revisionPtr revIDLastSave="0" documentId="13_ncr:1_{97FE1F2A-405A-4164-8CA8-37428FFA84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ial_Inclusion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G29" i="2"/>
  <c r="E27" i="2"/>
  <c r="F27" i="2" s="1"/>
  <c r="G27" i="2" s="1"/>
  <c r="E17" i="2"/>
  <c r="F17" i="2" s="1"/>
  <c r="G17" i="2" s="1"/>
  <c r="E11" i="2"/>
  <c r="F11" i="2" s="1"/>
  <c r="G11" i="2" s="1"/>
  <c r="E3" i="2"/>
  <c r="F3" i="2" s="1"/>
  <c r="G3" i="2" s="1"/>
  <c r="E4" i="2"/>
  <c r="F4" i="2" s="1"/>
  <c r="G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2" i="2"/>
  <c r="F12" i="2" s="1"/>
  <c r="G12" i="2" s="1"/>
  <c r="E13" i="2"/>
  <c r="F13" i="2" s="1"/>
  <c r="G13" i="2" s="1"/>
  <c r="E14" i="2"/>
  <c r="F14" i="2" s="1"/>
  <c r="G14" i="2" s="1"/>
  <c r="E15" i="2"/>
  <c r="F15" i="2" s="1"/>
  <c r="G15" i="2" s="1"/>
  <c r="E16" i="2"/>
  <c r="F16" i="2" s="1"/>
  <c r="G16" i="2" s="1"/>
  <c r="E18" i="2"/>
  <c r="F18" i="2" s="1"/>
  <c r="G18" i="2" s="1"/>
  <c r="E19" i="2"/>
  <c r="F19" i="2" s="1"/>
  <c r="G19" i="2" s="1"/>
  <c r="E20" i="2"/>
  <c r="F20" i="2" s="1"/>
  <c r="G20" i="2" s="1"/>
  <c r="E21" i="2"/>
  <c r="F21" i="2" s="1"/>
  <c r="G21" i="2" s="1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8" i="2"/>
  <c r="F28" i="2" s="1"/>
  <c r="G28" i="2" s="1"/>
  <c r="E29" i="2"/>
  <c r="E30" i="2"/>
  <c r="F30" i="2" s="1"/>
  <c r="G30" i="2" s="1"/>
  <c r="E31" i="2"/>
  <c r="F31" i="2" s="1"/>
  <c r="G31" i="2" s="1"/>
  <c r="E32" i="2"/>
  <c r="F32" i="2" s="1"/>
  <c r="G32" i="2" s="1"/>
  <c r="E33" i="2"/>
  <c r="F33" i="2" s="1"/>
  <c r="G33" i="2" s="1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2" i="2"/>
  <c r="F2" i="2" s="1"/>
  <c r="G2" i="2" s="1"/>
  <c r="L22" i="2"/>
  <c r="I4" i="2" l="1"/>
  <c r="I5" i="2" s="1"/>
</calcChain>
</file>

<file path=xl/sharedStrings.xml><?xml version="1.0" encoding="utf-8"?>
<sst xmlns="http://schemas.openxmlformats.org/spreadsheetml/2006/main" count="172" uniqueCount="78">
  <si>
    <t>Rank</t>
  </si>
  <si>
    <t>State / Union Territory</t>
  </si>
  <si>
    <t>Number of Bank Branches</t>
  </si>
  <si>
    <t>Credit-Deposit Ratio (%)</t>
  </si>
  <si>
    <t>Total Deposits (Rs. Crore)</t>
  </si>
  <si>
    <t>Access Score (0-100)</t>
  </si>
  <si>
    <t>Usage Score (0-100)</t>
  </si>
  <si>
    <t>Inclusion Gap (Access minus Usage)</t>
  </si>
  <si>
    <t>TFII Score (0-100)</t>
  </si>
  <si>
    <t>Inclusion Category</t>
  </si>
  <si>
    <t>Maharashtra</t>
  </si>
  <si>
    <t>High Inclusion</t>
  </si>
  <si>
    <t>Tamil Nadu</t>
  </si>
  <si>
    <t>Andhra Pradesh</t>
  </si>
  <si>
    <t>Telangana</t>
  </si>
  <si>
    <t>Delhi</t>
  </si>
  <si>
    <t>Rajasthan</t>
  </si>
  <si>
    <t>Gujarat</t>
  </si>
  <si>
    <t>Karnataka</t>
  </si>
  <si>
    <t>Moderate Inclusion</t>
  </si>
  <si>
    <t>Uttar Pradesh</t>
  </si>
  <si>
    <t>Madhya Pradesh</t>
  </si>
  <si>
    <t>Kerala</t>
  </si>
  <si>
    <t>Chhattisgarh</t>
  </si>
  <si>
    <t>Haryana</t>
  </si>
  <si>
    <t>Manipur</t>
  </si>
  <si>
    <t>West Bengal</t>
  </si>
  <si>
    <t>Punjab</t>
  </si>
  <si>
    <t>Chandigarh</t>
  </si>
  <si>
    <t>Puducherry</t>
  </si>
  <si>
    <t>Assam</t>
  </si>
  <si>
    <t>Bihar</t>
  </si>
  <si>
    <t>Odisha</t>
  </si>
  <si>
    <t>Jammu &amp; Kashmir</t>
  </si>
  <si>
    <t>Nagaland</t>
  </si>
  <si>
    <t>Low Inclusion</t>
  </si>
  <si>
    <t>Andaman &amp; Nicobar Islands</t>
  </si>
  <si>
    <t>Mizoram</t>
  </si>
  <si>
    <t>Jharkhand</t>
  </si>
  <si>
    <t>Uttarakhand</t>
  </si>
  <si>
    <t>Dadra &amp; Nagar Haveli</t>
  </si>
  <si>
    <t>Tripura</t>
  </si>
  <si>
    <t>Sikkim</t>
  </si>
  <si>
    <t>Ladakh</t>
  </si>
  <si>
    <t>Himachal Pradesh</t>
  </si>
  <si>
    <t>Meghalaya</t>
  </si>
  <si>
    <t>Arunachal Pradesh</t>
  </si>
  <si>
    <t>Goa</t>
  </si>
  <si>
    <t>Lakshadweep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</si>
  <si>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</si>
  <si>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</si>
  <si>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</si>
  <si>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</si>
  <si>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</si>
  <si>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</si>
  <si>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</si>
  <si>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</si>
  <si>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</si>
  <si>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</si>
  <si>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</si>
  <si>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</si>
  <si>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</si>
  <si>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</si>
  <si>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</si>
  <si>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</si>
  <si>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</si>
  <si>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</si>
  <si>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</si>
  <si>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</si>
  <si>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</si>
  <si>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</si>
  <si>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</si>
  <si>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</si>
  <si>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Score</t>
  </si>
  <si>
    <t>Error</t>
  </si>
  <si>
    <t>SSE</t>
  </si>
  <si>
    <t>MSE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</si>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</sst>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76" workbookViewId="0">
      <pane xSplit="1" ySplit="1" topLeftCell="B2" activePane="bottomRight" state="frozen"/>
      <selection pane="topRight"/>
      <selection pane="bottomLeft"/>
      <selection pane="bottomRight" activeCell="E18" sqref="E18"/>
    </sheetView>
  </sheetViews>
  <sheetFormatPr defaultRowHeight="14.5" x14ac:dyDescent="0.35"/>
  <cols>
    <col min="1" max="1" width="6" style="2" customWidth="1"/>
    <col min="2" max="2" width="28" style="2" customWidth="1"/>
    <col min="3" max="4" width="22" style="2" customWidth="1"/>
    <col min="5" max="5" width="24" style="2" customWidth="1"/>
    <col min="6" max="7" width="22" style="2" customWidth="1"/>
    <col min="8" max="8" width="30" style="2" customWidth="1"/>
    <col min="9" max="10" width="22" style="2" customWidth="1"/>
    <col min="11" max="16384" width="8.7265625" style="2"/>
  </cols>
  <sheetData>
    <row r="1" spans="1:10" ht="3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1</v>
      </c>
      <c r="B2" s="3" t="s">
        <v>10</v>
      </c>
      <c r="C2" s="3">
        <v>14832</v>
      </c>
      <c r="D2" s="3">
        <v>98.1</v>
      </c>
      <c r="E2" s="3">
        <v>5233966</v>
      </c>
      <c r="F2" s="3">
        <v>88.15</v>
      </c>
      <c r="G2" s="3">
        <v>98.1</v>
      </c>
      <c r="H2" s="3">
        <v>-9.9499999999999993</v>
      </c>
      <c r="I2" s="4">
        <v>94.12</v>
      </c>
      <c r="J2" s="5" t="s">
        <v>11</v>
      </c>
    </row>
    <row r="3" spans="1:10" x14ac:dyDescent="0.35">
      <c r="A3" s="6">
        <v>2</v>
      </c>
      <c r="B3" s="6" t="s">
        <v>12</v>
      </c>
      <c r="C3" s="6">
        <v>13204</v>
      </c>
      <c r="D3" s="6">
        <v>115.4</v>
      </c>
      <c r="E3" s="6">
        <v>1463026</v>
      </c>
      <c r="F3" s="6">
        <v>47.92</v>
      </c>
      <c r="G3" s="6">
        <v>100</v>
      </c>
      <c r="H3" s="6">
        <v>-52.08</v>
      </c>
      <c r="I3" s="4">
        <v>79.17</v>
      </c>
      <c r="J3" s="5" t="s">
        <v>11</v>
      </c>
    </row>
    <row r="4" spans="1:10" x14ac:dyDescent="0.35">
      <c r="A4" s="3">
        <v>3</v>
      </c>
      <c r="B4" s="3" t="s">
        <v>13</v>
      </c>
      <c r="C4" s="3">
        <v>8087</v>
      </c>
      <c r="D4" s="3">
        <v>151.1</v>
      </c>
      <c r="E4" s="3">
        <v>529673</v>
      </c>
      <c r="F4" s="3">
        <v>25.83</v>
      </c>
      <c r="G4" s="3">
        <v>100</v>
      </c>
      <c r="H4" s="3">
        <v>-74.17</v>
      </c>
      <c r="I4" s="4">
        <v>70.33</v>
      </c>
      <c r="J4" s="5" t="s">
        <v>11</v>
      </c>
    </row>
    <row r="5" spans="1:10" x14ac:dyDescent="0.35">
      <c r="A5" s="6">
        <v>4</v>
      </c>
      <c r="B5" s="6" t="s">
        <v>14</v>
      </c>
      <c r="C5" s="6">
        <v>6269</v>
      </c>
      <c r="D5" s="6">
        <v>111.6</v>
      </c>
      <c r="E5" s="6">
        <v>867571</v>
      </c>
      <c r="F5" s="6">
        <v>24.38</v>
      </c>
      <c r="G5" s="6">
        <v>100</v>
      </c>
      <c r="H5" s="6">
        <v>-75.62</v>
      </c>
      <c r="I5" s="4">
        <v>69.75</v>
      </c>
      <c r="J5" s="5" t="s">
        <v>11</v>
      </c>
    </row>
    <row r="6" spans="1:10" x14ac:dyDescent="0.35">
      <c r="A6" s="3">
        <v>5</v>
      </c>
      <c r="B6" s="3" t="s">
        <v>15</v>
      </c>
      <c r="C6" s="3">
        <v>3981</v>
      </c>
      <c r="D6" s="3">
        <v>91.8</v>
      </c>
      <c r="E6" s="3">
        <v>2071013</v>
      </c>
      <c r="F6" s="3">
        <v>29.98</v>
      </c>
      <c r="G6" s="3">
        <v>91.8</v>
      </c>
      <c r="H6" s="3">
        <v>-61.82</v>
      </c>
      <c r="I6" s="4">
        <v>67.069999999999993</v>
      </c>
      <c r="J6" s="5" t="s">
        <v>11</v>
      </c>
    </row>
    <row r="7" spans="1:10" x14ac:dyDescent="0.35">
      <c r="A7" s="6">
        <v>6</v>
      </c>
      <c r="B7" s="6" t="s">
        <v>16</v>
      </c>
      <c r="C7" s="6">
        <v>8786</v>
      </c>
      <c r="D7" s="6">
        <v>88.6</v>
      </c>
      <c r="E7" s="6">
        <v>741436</v>
      </c>
      <c r="F7" s="6">
        <v>29.65</v>
      </c>
      <c r="G7" s="6">
        <v>88.6</v>
      </c>
      <c r="H7" s="6">
        <v>-58.95</v>
      </c>
      <c r="I7" s="4">
        <v>65.02</v>
      </c>
      <c r="J7" s="5" t="s">
        <v>11</v>
      </c>
    </row>
    <row r="8" spans="1:10" x14ac:dyDescent="0.35">
      <c r="A8" s="3">
        <v>7</v>
      </c>
      <c r="B8" s="3" t="s">
        <v>17</v>
      </c>
      <c r="C8" s="3">
        <v>9513</v>
      </c>
      <c r="D8" s="3">
        <v>79.7</v>
      </c>
      <c r="E8" s="3">
        <v>1273072</v>
      </c>
      <c r="F8" s="3">
        <v>36.6</v>
      </c>
      <c r="G8" s="3">
        <v>79.7</v>
      </c>
      <c r="H8" s="3">
        <v>-43.1</v>
      </c>
      <c r="I8" s="4">
        <v>62.46</v>
      </c>
      <c r="J8" s="5" t="s">
        <v>11</v>
      </c>
    </row>
    <row r="9" spans="1:10" x14ac:dyDescent="0.35">
      <c r="A9" s="6">
        <v>8</v>
      </c>
      <c r="B9" s="6" t="s">
        <v>18</v>
      </c>
      <c r="C9" s="6">
        <v>11395</v>
      </c>
      <c r="D9" s="6">
        <v>67.7</v>
      </c>
      <c r="E9" s="6">
        <v>1888708</v>
      </c>
      <c r="F9" s="6">
        <v>47.33</v>
      </c>
      <c r="G9" s="6">
        <v>67.7</v>
      </c>
      <c r="H9" s="6">
        <v>-20.37</v>
      </c>
      <c r="I9" s="7">
        <v>59.55</v>
      </c>
      <c r="J9" s="8" t="s">
        <v>19</v>
      </c>
    </row>
    <row r="10" spans="1:10" x14ac:dyDescent="0.35">
      <c r="A10" s="3">
        <v>9</v>
      </c>
      <c r="B10" s="3" t="s">
        <v>20</v>
      </c>
      <c r="C10" s="3">
        <v>19436</v>
      </c>
      <c r="D10" s="3">
        <v>50.9</v>
      </c>
      <c r="E10" s="3">
        <v>1909885</v>
      </c>
      <c r="F10" s="3">
        <v>68.239999999999995</v>
      </c>
      <c r="G10" s="3">
        <v>50.9</v>
      </c>
      <c r="H10" s="9">
        <v>17.34</v>
      </c>
      <c r="I10" s="7">
        <v>57.84</v>
      </c>
      <c r="J10" s="8" t="s">
        <v>19</v>
      </c>
    </row>
    <row r="11" spans="1:10" x14ac:dyDescent="0.35">
      <c r="A11" s="6">
        <v>10</v>
      </c>
      <c r="B11" s="6" t="s">
        <v>21</v>
      </c>
      <c r="C11" s="6">
        <v>7949</v>
      </c>
      <c r="D11" s="6">
        <v>78.3</v>
      </c>
      <c r="E11" s="6">
        <v>673476</v>
      </c>
      <c r="F11" s="6">
        <v>26.84</v>
      </c>
      <c r="G11" s="6">
        <v>78.3</v>
      </c>
      <c r="H11" s="6">
        <v>-51.46</v>
      </c>
      <c r="I11" s="7">
        <v>57.72</v>
      </c>
      <c r="J11" s="8" t="s">
        <v>19</v>
      </c>
    </row>
    <row r="12" spans="1:10" x14ac:dyDescent="0.35">
      <c r="A12" s="3">
        <v>11</v>
      </c>
      <c r="B12" s="3" t="s">
        <v>22</v>
      </c>
      <c r="C12" s="3">
        <v>7380</v>
      </c>
      <c r="D12" s="3">
        <v>68.8</v>
      </c>
      <c r="E12" s="3">
        <v>894855</v>
      </c>
      <c r="F12" s="3">
        <v>27.5</v>
      </c>
      <c r="G12" s="3">
        <v>68.8</v>
      </c>
      <c r="H12" s="3">
        <v>-41.3</v>
      </c>
      <c r="I12" s="7">
        <v>52.28</v>
      </c>
      <c r="J12" s="8" t="s">
        <v>19</v>
      </c>
    </row>
    <row r="13" spans="1:10" x14ac:dyDescent="0.35">
      <c r="A13" s="6">
        <v>12</v>
      </c>
      <c r="B13" s="6" t="s">
        <v>23</v>
      </c>
      <c r="C13" s="6">
        <v>3187</v>
      </c>
      <c r="D13" s="6">
        <v>79.5</v>
      </c>
      <c r="E13" s="6">
        <v>268161</v>
      </c>
      <c r="F13" s="6">
        <v>10.71</v>
      </c>
      <c r="G13" s="6">
        <v>79.5</v>
      </c>
      <c r="H13" s="6">
        <v>-68.790000000000006</v>
      </c>
      <c r="I13" s="7">
        <v>51.98</v>
      </c>
      <c r="J13" s="8" t="s">
        <v>19</v>
      </c>
    </row>
    <row r="14" spans="1:10" x14ac:dyDescent="0.35">
      <c r="A14" s="3">
        <v>13</v>
      </c>
      <c r="B14" s="3" t="s">
        <v>24</v>
      </c>
      <c r="C14" s="3">
        <v>5683</v>
      </c>
      <c r="D14" s="3">
        <v>68.400000000000006</v>
      </c>
      <c r="E14" s="3">
        <v>888772</v>
      </c>
      <c r="F14" s="3">
        <v>23.07</v>
      </c>
      <c r="G14" s="3">
        <v>68.400000000000006</v>
      </c>
      <c r="H14" s="3">
        <v>-45.33</v>
      </c>
      <c r="I14" s="7">
        <v>50.27</v>
      </c>
      <c r="J14" s="8" t="s">
        <v>19</v>
      </c>
    </row>
    <row r="15" spans="1:10" x14ac:dyDescent="0.35">
      <c r="A15" s="6">
        <v>14</v>
      </c>
      <c r="B15" s="6" t="s">
        <v>25</v>
      </c>
      <c r="C15" s="6">
        <v>261</v>
      </c>
      <c r="D15" s="6">
        <v>76.599999999999994</v>
      </c>
      <c r="E15" s="6">
        <v>16806</v>
      </c>
      <c r="F15" s="6">
        <v>0.78</v>
      </c>
      <c r="G15" s="6">
        <v>76.599999999999994</v>
      </c>
      <c r="H15" s="6">
        <v>-75.819999999999993</v>
      </c>
      <c r="I15" s="7">
        <v>46.27</v>
      </c>
      <c r="J15" s="8" t="s">
        <v>19</v>
      </c>
    </row>
    <row r="16" spans="1:10" x14ac:dyDescent="0.35">
      <c r="A16" s="3">
        <v>15</v>
      </c>
      <c r="B16" s="3" t="s">
        <v>26</v>
      </c>
      <c r="C16" s="3">
        <v>10159</v>
      </c>
      <c r="D16" s="3">
        <v>51.6</v>
      </c>
      <c r="E16" s="3">
        <v>1225284</v>
      </c>
      <c r="F16" s="3">
        <v>37.81</v>
      </c>
      <c r="G16" s="3">
        <v>51.6</v>
      </c>
      <c r="H16" s="3">
        <v>-13.79</v>
      </c>
      <c r="I16" s="7">
        <v>46.08</v>
      </c>
      <c r="J16" s="8" t="s">
        <v>19</v>
      </c>
    </row>
    <row r="17" spans="1:10" x14ac:dyDescent="0.35">
      <c r="A17" s="6">
        <v>16</v>
      </c>
      <c r="B17" s="6" t="s">
        <v>27</v>
      </c>
      <c r="C17" s="6">
        <v>6952</v>
      </c>
      <c r="D17" s="6">
        <v>58.5</v>
      </c>
      <c r="E17" s="6">
        <v>668830</v>
      </c>
      <c r="F17" s="6">
        <v>24.23</v>
      </c>
      <c r="G17" s="6">
        <v>58.5</v>
      </c>
      <c r="H17" s="6">
        <v>-34.270000000000003</v>
      </c>
      <c r="I17" s="7">
        <v>44.79</v>
      </c>
      <c r="J17" s="8" t="s">
        <v>19</v>
      </c>
    </row>
    <row r="18" spans="1:10" x14ac:dyDescent="0.35">
      <c r="A18" s="3">
        <v>17</v>
      </c>
      <c r="B18" s="3" t="s">
        <v>28</v>
      </c>
      <c r="C18" s="3">
        <v>461</v>
      </c>
      <c r="D18" s="3">
        <v>71.900000000000006</v>
      </c>
      <c r="E18" s="3">
        <v>126596</v>
      </c>
      <c r="F18" s="3">
        <v>2.34</v>
      </c>
      <c r="G18" s="3">
        <v>71.900000000000006</v>
      </c>
      <c r="H18" s="3">
        <v>-69.56</v>
      </c>
      <c r="I18" s="7">
        <v>44.08</v>
      </c>
      <c r="J18" s="8" t="s">
        <v>19</v>
      </c>
    </row>
    <row r="19" spans="1:10" x14ac:dyDescent="0.35">
      <c r="A19" s="6">
        <v>18</v>
      </c>
      <c r="B19" s="6" t="s">
        <v>29</v>
      </c>
      <c r="C19" s="6">
        <v>288</v>
      </c>
      <c r="D19" s="6">
        <v>72</v>
      </c>
      <c r="E19" s="6">
        <v>32927</v>
      </c>
      <c r="F19" s="6">
        <v>1</v>
      </c>
      <c r="G19" s="6">
        <v>72</v>
      </c>
      <c r="H19" s="6">
        <v>-71</v>
      </c>
      <c r="I19" s="7">
        <v>43.6</v>
      </c>
      <c r="J19" s="8" t="s">
        <v>19</v>
      </c>
    </row>
    <row r="20" spans="1:10" x14ac:dyDescent="0.35">
      <c r="A20" s="3">
        <v>19</v>
      </c>
      <c r="B20" s="3" t="s">
        <v>30</v>
      </c>
      <c r="C20" s="3">
        <v>3236</v>
      </c>
      <c r="D20" s="3">
        <v>62.7</v>
      </c>
      <c r="E20" s="3">
        <v>234070</v>
      </c>
      <c r="F20" s="3">
        <v>10.51</v>
      </c>
      <c r="G20" s="3">
        <v>62.7</v>
      </c>
      <c r="H20" s="3">
        <v>-52.19</v>
      </c>
      <c r="I20" s="7">
        <v>41.82</v>
      </c>
      <c r="J20" s="8" t="s">
        <v>19</v>
      </c>
    </row>
    <row r="21" spans="1:10" x14ac:dyDescent="0.35">
      <c r="A21" s="6">
        <v>20</v>
      </c>
      <c r="B21" s="6" t="s">
        <v>31</v>
      </c>
      <c r="C21" s="6">
        <v>8226</v>
      </c>
      <c r="D21" s="6">
        <v>51.4</v>
      </c>
      <c r="E21" s="6">
        <v>568726</v>
      </c>
      <c r="F21" s="6">
        <v>26.56</v>
      </c>
      <c r="G21" s="6">
        <v>51.4</v>
      </c>
      <c r="H21" s="6">
        <v>-24.84</v>
      </c>
      <c r="I21" s="7">
        <v>41.46</v>
      </c>
      <c r="J21" s="8" t="s">
        <v>19</v>
      </c>
    </row>
    <row r="22" spans="1:10" x14ac:dyDescent="0.35">
      <c r="A22" s="3">
        <v>21</v>
      </c>
      <c r="B22" s="3" t="s">
        <v>32</v>
      </c>
      <c r="C22" s="3">
        <v>5920</v>
      </c>
      <c r="D22" s="3">
        <v>48.1</v>
      </c>
      <c r="E22" s="3">
        <v>583925</v>
      </c>
      <c r="F22" s="3">
        <v>20.76</v>
      </c>
      <c r="G22" s="3">
        <v>48.1</v>
      </c>
      <c r="H22" s="3">
        <v>-27.34</v>
      </c>
      <c r="I22" s="7">
        <v>37.159999999999997</v>
      </c>
      <c r="J22" s="8" t="s">
        <v>19</v>
      </c>
    </row>
    <row r="23" spans="1:10" x14ac:dyDescent="0.35">
      <c r="A23" s="6">
        <v>22</v>
      </c>
      <c r="B23" s="6" t="s">
        <v>33</v>
      </c>
      <c r="C23" s="6">
        <v>1996</v>
      </c>
      <c r="D23" s="6">
        <v>56.9</v>
      </c>
      <c r="E23" s="6">
        <v>191982</v>
      </c>
      <c r="F23" s="6">
        <v>6.92</v>
      </c>
      <c r="G23" s="6">
        <v>56.9</v>
      </c>
      <c r="H23" s="6">
        <v>-49.98</v>
      </c>
      <c r="I23" s="7">
        <v>36.909999999999997</v>
      </c>
      <c r="J23" s="8" t="s">
        <v>19</v>
      </c>
    </row>
    <row r="24" spans="1:10" x14ac:dyDescent="0.35">
      <c r="A24" s="3">
        <v>23</v>
      </c>
      <c r="B24" s="3" t="s">
        <v>34</v>
      </c>
      <c r="C24" s="3">
        <v>231</v>
      </c>
      <c r="D24" s="3">
        <v>52.1</v>
      </c>
      <c r="E24" s="3">
        <v>18789</v>
      </c>
      <c r="F24" s="3">
        <v>0.72</v>
      </c>
      <c r="G24" s="3">
        <v>52.1</v>
      </c>
      <c r="H24" s="3">
        <v>-51.38</v>
      </c>
      <c r="I24" s="10">
        <v>31.55</v>
      </c>
      <c r="J24" s="11" t="s">
        <v>35</v>
      </c>
    </row>
    <row r="25" spans="1:10" x14ac:dyDescent="0.35">
      <c r="A25" s="6">
        <v>24</v>
      </c>
      <c r="B25" s="6" t="s">
        <v>36</v>
      </c>
      <c r="C25" s="6">
        <v>76</v>
      </c>
      <c r="D25" s="6">
        <v>52.2</v>
      </c>
      <c r="E25" s="6">
        <v>8549</v>
      </c>
      <c r="F25" s="6">
        <v>0.22</v>
      </c>
      <c r="G25" s="6">
        <v>52.2</v>
      </c>
      <c r="H25" s="6">
        <v>-51.98</v>
      </c>
      <c r="I25" s="10">
        <v>31.41</v>
      </c>
      <c r="J25" s="11" t="s">
        <v>35</v>
      </c>
    </row>
    <row r="26" spans="1:10" x14ac:dyDescent="0.35">
      <c r="A26" s="3">
        <v>25</v>
      </c>
      <c r="B26" s="3" t="s">
        <v>37</v>
      </c>
      <c r="C26" s="3">
        <v>241</v>
      </c>
      <c r="D26" s="3">
        <v>51.5</v>
      </c>
      <c r="E26" s="3">
        <v>17462</v>
      </c>
      <c r="F26" s="3">
        <v>0.72</v>
      </c>
      <c r="G26" s="3">
        <v>51.5</v>
      </c>
      <c r="H26" s="3">
        <v>-50.78</v>
      </c>
      <c r="I26" s="10">
        <v>31.19</v>
      </c>
      <c r="J26" s="11" t="s">
        <v>35</v>
      </c>
    </row>
    <row r="27" spans="1:10" x14ac:dyDescent="0.35">
      <c r="A27" s="6">
        <v>26</v>
      </c>
      <c r="B27" s="6" t="s">
        <v>38</v>
      </c>
      <c r="C27" s="6">
        <v>3518</v>
      </c>
      <c r="D27" s="6">
        <v>39.299999999999997</v>
      </c>
      <c r="E27" s="6">
        <v>367362</v>
      </c>
      <c r="F27" s="6">
        <v>12.51</v>
      </c>
      <c r="G27" s="6">
        <v>39.299999999999997</v>
      </c>
      <c r="H27" s="6">
        <v>-26.79</v>
      </c>
      <c r="I27" s="10">
        <v>28.58</v>
      </c>
      <c r="J27" s="11" t="s">
        <v>35</v>
      </c>
    </row>
    <row r="28" spans="1:10" x14ac:dyDescent="0.35">
      <c r="A28" s="3">
        <v>27</v>
      </c>
      <c r="B28" s="3" t="s">
        <v>39</v>
      </c>
      <c r="C28" s="3">
        <v>2343</v>
      </c>
      <c r="D28" s="3">
        <v>41.5</v>
      </c>
      <c r="E28" s="3">
        <v>246010</v>
      </c>
      <c r="F28" s="3">
        <v>8.32</v>
      </c>
      <c r="G28" s="3">
        <v>41.5</v>
      </c>
      <c r="H28" s="3">
        <v>-33.18</v>
      </c>
      <c r="I28" s="10">
        <v>28.23</v>
      </c>
      <c r="J28" s="11" t="s">
        <v>35</v>
      </c>
    </row>
    <row r="29" spans="1:10" x14ac:dyDescent="0.35">
      <c r="A29" s="6">
        <v>28</v>
      </c>
      <c r="B29" s="6" t="s">
        <v>40</v>
      </c>
      <c r="C29" s="6">
        <v>113</v>
      </c>
      <c r="D29" s="6">
        <v>44.9</v>
      </c>
      <c r="E29" s="6">
        <v>16965</v>
      </c>
      <c r="F29" s="6">
        <v>0.39</v>
      </c>
      <c r="G29" s="6">
        <v>44.9</v>
      </c>
      <c r="H29" s="6">
        <v>-44.51</v>
      </c>
      <c r="I29" s="10">
        <v>27.1</v>
      </c>
      <c r="J29" s="11" t="s">
        <v>35</v>
      </c>
    </row>
    <row r="30" spans="1:10" x14ac:dyDescent="0.35">
      <c r="A30" s="3">
        <v>29</v>
      </c>
      <c r="B30" s="3" t="s">
        <v>41</v>
      </c>
      <c r="C30" s="3">
        <v>646</v>
      </c>
      <c r="D30" s="3">
        <v>43.2</v>
      </c>
      <c r="E30" s="3">
        <v>42140</v>
      </c>
      <c r="F30" s="3">
        <v>2.0099999999999998</v>
      </c>
      <c r="G30" s="3">
        <v>43.2</v>
      </c>
      <c r="H30" s="3">
        <v>-41.19</v>
      </c>
      <c r="I30" s="10">
        <v>26.72</v>
      </c>
      <c r="J30" s="11" t="s">
        <v>35</v>
      </c>
    </row>
    <row r="31" spans="1:10" x14ac:dyDescent="0.35">
      <c r="A31" s="6">
        <v>30</v>
      </c>
      <c r="B31" s="6" t="s">
        <v>42</v>
      </c>
      <c r="C31" s="6">
        <v>185</v>
      </c>
      <c r="D31" s="6">
        <v>43.4</v>
      </c>
      <c r="E31" s="6">
        <v>16290</v>
      </c>
      <c r="F31" s="6">
        <v>0.56999999999999995</v>
      </c>
      <c r="G31" s="6">
        <v>43.4</v>
      </c>
      <c r="H31" s="6">
        <v>-42.83</v>
      </c>
      <c r="I31" s="10">
        <v>26.27</v>
      </c>
      <c r="J31" s="11" t="s">
        <v>35</v>
      </c>
    </row>
    <row r="32" spans="1:10" x14ac:dyDescent="0.35">
      <c r="A32" s="3">
        <v>31</v>
      </c>
      <c r="B32" s="3" t="s">
        <v>43</v>
      </c>
      <c r="C32" s="3">
        <v>103</v>
      </c>
      <c r="D32" s="3">
        <v>43.3</v>
      </c>
      <c r="E32" s="3">
        <v>9885</v>
      </c>
      <c r="F32" s="3">
        <v>0.3</v>
      </c>
      <c r="G32" s="3">
        <v>43.3</v>
      </c>
      <c r="H32" s="3">
        <v>-43</v>
      </c>
      <c r="I32" s="10">
        <v>26.1</v>
      </c>
      <c r="J32" s="11" t="s">
        <v>35</v>
      </c>
    </row>
    <row r="33" spans="1:10" x14ac:dyDescent="0.35">
      <c r="A33" s="6">
        <v>32</v>
      </c>
      <c r="B33" s="6" t="s">
        <v>44</v>
      </c>
      <c r="C33" s="6">
        <v>1819</v>
      </c>
      <c r="D33" s="6">
        <v>37.799999999999997</v>
      </c>
      <c r="E33" s="6">
        <v>162531</v>
      </c>
      <c r="F33" s="6">
        <v>6.18</v>
      </c>
      <c r="G33" s="6">
        <v>37.799999999999997</v>
      </c>
      <c r="H33" s="6">
        <v>-31.62</v>
      </c>
      <c r="I33" s="10">
        <v>25.15</v>
      </c>
      <c r="J33" s="11" t="s">
        <v>35</v>
      </c>
    </row>
    <row r="34" spans="1:10" x14ac:dyDescent="0.35">
      <c r="A34" s="3">
        <v>33</v>
      </c>
      <c r="B34" s="3" t="s">
        <v>45</v>
      </c>
      <c r="C34" s="3">
        <v>394</v>
      </c>
      <c r="D34" s="3">
        <v>40.299999999999997</v>
      </c>
      <c r="E34" s="3">
        <v>37779</v>
      </c>
      <c r="F34" s="3">
        <v>1.32</v>
      </c>
      <c r="G34" s="3">
        <v>40.299999999999997</v>
      </c>
      <c r="H34" s="3">
        <v>-38.979999999999997</v>
      </c>
      <c r="I34" s="10">
        <v>24.71</v>
      </c>
      <c r="J34" s="11" t="s">
        <v>35</v>
      </c>
    </row>
    <row r="35" spans="1:10" x14ac:dyDescent="0.35">
      <c r="A35" s="6">
        <v>34</v>
      </c>
      <c r="B35" s="6" t="s">
        <v>46</v>
      </c>
      <c r="C35" s="6">
        <v>229</v>
      </c>
      <c r="D35" s="6">
        <v>31</v>
      </c>
      <c r="E35" s="6">
        <v>33114</v>
      </c>
      <c r="F35" s="6">
        <v>0.84</v>
      </c>
      <c r="G35" s="6">
        <v>31</v>
      </c>
      <c r="H35" s="6">
        <v>-30.16</v>
      </c>
      <c r="I35" s="10">
        <v>18.940000000000001</v>
      </c>
      <c r="J35" s="11" t="s">
        <v>35</v>
      </c>
    </row>
    <row r="36" spans="1:10" x14ac:dyDescent="0.35">
      <c r="A36" s="3">
        <v>35</v>
      </c>
      <c r="B36" s="3" t="s">
        <v>47</v>
      </c>
      <c r="C36" s="3">
        <v>690</v>
      </c>
      <c r="D36" s="3">
        <v>26.7</v>
      </c>
      <c r="E36" s="3">
        <v>120662</v>
      </c>
      <c r="F36" s="3">
        <v>2.88</v>
      </c>
      <c r="G36" s="3">
        <v>26.7</v>
      </c>
      <c r="H36" s="3">
        <v>-23.82</v>
      </c>
      <c r="I36" s="10">
        <v>17.170000000000002</v>
      </c>
      <c r="J36" s="11" t="s">
        <v>35</v>
      </c>
    </row>
    <row r="37" spans="1:10" x14ac:dyDescent="0.35">
      <c r="A37" s="6">
        <v>36</v>
      </c>
      <c r="B37" s="6" t="s">
        <v>48</v>
      </c>
      <c r="C37" s="6">
        <v>17</v>
      </c>
      <c r="D37" s="6">
        <v>12.7</v>
      </c>
      <c r="E37" s="6">
        <v>1540</v>
      </c>
      <c r="F37" s="6">
        <v>0</v>
      </c>
      <c r="G37" s="6">
        <v>12.7</v>
      </c>
      <c r="H37" s="6">
        <v>-12.7</v>
      </c>
      <c r="I37" s="10">
        <v>7.62</v>
      </c>
      <c r="J37" s="1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DC64-13FF-4DC6-9DE4-BBF24B749ECE}">
  <dimension ref="A1:S69"/>
  <sheetViews>
    <sheetView zoomScale="74" workbookViewId="0">
      <selection activeCell="D1" sqref="D1"/>
    </sheetView>
  </sheetViews>
  <sheetFormatPr defaultColWidth="31.6328125" defaultRowHeight="14.5" x14ac:dyDescent="0.35"/>
  <cols>
    <col min="1" max="1" width="16.08984375" bestFit="1" customWidth="1"/>
    <col min="2" max="2" width="23.7265625" bestFit="1" customWidth="1"/>
    <col min="3" max="3" width="21.81640625" bestFit="1" customWidth="1"/>
    <col min="4" max="4" width="23.54296875" bestFit="1" customWidth="1"/>
  </cols>
  <sheetData>
    <row r="1" spans="1:16" ht="26" x14ac:dyDescent="0.35">
      <c r="A1" s="1" t="s">
        <v>8</v>
      </c>
      <c r="B1" s="1" t="s">
        <v>2</v>
      </c>
      <c r="C1" s="1" t="s">
        <v>3</v>
      </c>
      <c r="D1" s="15" t="s">
        <v>4</v>
      </c>
      <c r="E1" s="1" t="s">
        <v>73</v>
      </c>
      <c r="F1" s="1" t="s">
        <v>74</v>
      </c>
      <c r="G1" s="1" t="s">
        <v>75</v>
      </c>
    </row>
    <row r="2" spans="1:16" x14ac:dyDescent="0.35">
      <c r="A2" s="4">
        <v>94.12</v>
      </c>
      <c r="B2" s="3">
        <v>14832</v>
      </c>
      <c r="C2" s="3">
        <v>98.1</v>
      </c>
      <c r="D2" s="3">
        <v>5233966</v>
      </c>
      <c r="E2" s="2">
        <f t="shared" ref="E2:E37" si="0">$L$66+$L$67*B2+$L$68*C2+D2*$L$69</f>
        <v>96.417062503896162</v>
      </c>
      <c r="F2" s="2">
        <f>A2-E2</f>
        <v>-2.2970625038961572</v>
      </c>
      <c r="G2" s="2">
        <f>F2^2</f>
        <v>5.276496146805683</v>
      </c>
    </row>
    <row r="3" spans="1:16" x14ac:dyDescent="0.35">
      <c r="A3" s="4">
        <v>79.17</v>
      </c>
      <c r="B3" s="6">
        <v>13204</v>
      </c>
      <c r="C3" s="6">
        <v>115.4</v>
      </c>
      <c r="D3" s="6">
        <v>1463026</v>
      </c>
      <c r="E3" s="2">
        <f t="shared" si="0"/>
        <v>79.336157038097042</v>
      </c>
      <c r="F3" s="2">
        <f t="shared" ref="F3:F37" si="1">A3-E3</f>
        <v>-0.1661570380970403</v>
      </c>
      <c r="G3" s="2">
        <f t="shared" ref="G3:G37" si="2">F3^2</f>
        <v>2.7608161309181301E-2</v>
      </c>
      <c r="K3" t="s">
        <v>49</v>
      </c>
    </row>
    <row r="4" spans="1:16" ht="15" thickBot="1" x14ac:dyDescent="0.4">
      <c r="A4" s="4">
        <v>70.33</v>
      </c>
      <c r="B4" s="3">
        <v>8087</v>
      </c>
      <c r="C4" s="3">
        <v>151.1</v>
      </c>
      <c r="D4" s="3">
        <v>529673</v>
      </c>
      <c r="E4" s="2">
        <f t="shared" si="0"/>
        <v>85.065849122691588</v>
      </c>
      <c r="F4" s="2">
        <f t="shared" si="1"/>
        <v>-14.73584912269159</v>
      </c>
      <c r="G4" s="2">
        <f t="shared" si="2"/>
        <v>217.1452493667305</v>
      </c>
      <c r="H4" s="16" t="s">
        <v>76</v>
      </c>
      <c r="I4">
        <f>SUM(G2:G37)/(36-1)</f>
        <v>12.614504305747188</v>
      </c>
    </row>
    <row r="5" spans="1:16" x14ac:dyDescent="0.35">
      <c r="A5" s="4">
        <v>69.75</v>
      </c>
      <c r="B5" s="6">
        <v>6269</v>
      </c>
      <c r="C5" s="6">
        <v>111.6</v>
      </c>
      <c r="D5" s="6">
        <v>867571</v>
      </c>
      <c r="E5" s="2">
        <f t="shared" si="0"/>
        <v>68.04931502822231</v>
      </c>
      <c r="F5" s="2">
        <f t="shared" si="1"/>
        <v>1.7006849717776902</v>
      </c>
      <c r="G5" s="2">
        <f t="shared" si="2"/>
        <v>2.8923293732304827</v>
      </c>
      <c r="H5" s="16" t="s">
        <v>77</v>
      </c>
      <c r="I5">
        <f>SQRT(I4)</f>
        <v>3.5516903448565427</v>
      </c>
      <c r="K5" s="14" t="s">
        <v>50</v>
      </c>
      <c r="L5" s="14"/>
    </row>
    <row r="6" spans="1:16" x14ac:dyDescent="0.35">
      <c r="A6" s="4">
        <v>67.069999999999993</v>
      </c>
      <c r="B6" s="3">
        <v>3981</v>
      </c>
      <c r="C6" s="3">
        <v>91.8</v>
      </c>
      <c r="D6" s="3">
        <v>2071013</v>
      </c>
      <c r="E6" s="2">
        <f t="shared" si="0"/>
        <v>64.760842517184528</v>
      </c>
      <c r="F6" s="2">
        <f t="shared" si="1"/>
        <v>2.3091574828154648</v>
      </c>
      <c r="G6" s="2">
        <f t="shared" si="2"/>
        <v>5.3322082804426536</v>
      </c>
      <c r="K6" t="s">
        <v>51</v>
      </c>
      <c r="L6">
        <v>0.76137140180056995</v>
      </c>
    </row>
    <row r="7" spans="1:16" x14ac:dyDescent="0.35">
      <c r="A7" s="4">
        <v>65.02</v>
      </c>
      <c r="B7" s="6">
        <v>8786</v>
      </c>
      <c r="C7" s="6">
        <v>88.6</v>
      </c>
      <c r="D7" s="6">
        <v>741436</v>
      </c>
      <c r="E7" s="2">
        <f t="shared" si="0"/>
        <v>59.182413768921151</v>
      </c>
      <c r="F7" s="2">
        <f t="shared" si="1"/>
        <v>5.8375862310788449</v>
      </c>
      <c r="G7" s="2">
        <f t="shared" si="2"/>
        <v>34.077413005281315</v>
      </c>
      <c r="K7" t="s">
        <v>52</v>
      </c>
      <c r="L7">
        <v>0.57968641147976485</v>
      </c>
    </row>
    <row r="8" spans="1:16" x14ac:dyDescent="0.35">
      <c r="A8" s="4">
        <v>62.46</v>
      </c>
      <c r="B8" s="3">
        <v>9513</v>
      </c>
      <c r="C8" s="3">
        <v>79.7</v>
      </c>
      <c r="D8" s="3">
        <v>1273072</v>
      </c>
      <c r="E8" s="2">
        <f t="shared" si="0"/>
        <v>59.141026919796346</v>
      </c>
      <c r="F8" s="2">
        <f t="shared" si="1"/>
        <v>3.318973080203655</v>
      </c>
      <c r="G8" s="2">
        <f t="shared" si="2"/>
        <v>11.015582307116537</v>
      </c>
      <c r="K8" t="s">
        <v>53</v>
      </c>
      <c r="L8">
        <v>0.56732424711152263</v>
      </c>
    </row>
    <row r="9" spans="1:16" x14ac:dyDescent="0.35">
      <c r="A9" s="7">
        <v>59.55</v>
      </c>
      <c r="B9" s="6">
        <v>11395</v>
      </c>
      <c r="C9" s="6">
        <v>67.7</v>
      </c>
      <c r="D9" s="6">
        <v>1888708</v>
      </c>
      <c r="E9" s="2">
        <f t="shared" si="0"/>
        <v>59.22543304724703</v>
      </c>
      <c r="F9" s="2">
        <f t="shared" si="1"/>
        <v>0.3245669527529671</v>
      </c>
      <c r="G9" s="2">
        <f t="shared" si="2"/>
        <v>0.10534370681934678</v>
      </c>
      <c r="K9" t="s">
        <v>54</v>
      </c>
      <c r="L9">
        <v>12.632390272802587</v>
      </c>
    </row>
    <row r="10" spans="1:16" ht="15" thickBot="1" x14ac:dyDescent="0.4">
      <c r="A10" s="7">
        <v>57.84</v>
      </c>
      <c r="B10" s="3">
        <v>19436</v>
      </c>
      <c r="C10" s="3">
        <v>50.9</v>
      </c>
      <c r="D10" s="3">
        <v>1909885</v>
      </c>
      <c r="E10" s="2">
        <f t="shared" si="0"/>
        <v>58.731920063576183</v>
      </c>
      <c r="F10" s="2">
        <f t="shared" si="1"/>
        <v>-0.8919200635761797</v>
      </c>
      <c r="G10" s="2">
        <f t="shared" si="2"/>
        <v>0.79552139980973646</v>
      </c>
      <c r="K10" s="12" t="s">
        <v>55</v>
      </c>
      <c r="L10" s="12">
        <v>36</v>
      </c>
    </row>
    <row r="11" spans="1:16" x14ac:dyDescent="0.35">
      <c r="A11" s="7">
        <v>57.72</v>
      </c>
      <c r="B11" s="6">
        <v>7949</v>
      </c>
      <c r="C11" s="6">
        <v>78.3</v>
      </c>
      <c r="D11" s="6">
        <v>673476</v>
      </c>
      <c r="E11" s="2">
        <f t="shared" si="0"/>
        <v>53.468245604539575</v>
      </c>
      <c r="F11" s="2">
        <f t="shared" si="1"/>
        <v>4.2517543954604236</v>
      </c>
      <c r="G11" s="2">
        <f t="shared" si="2"/>
        <v>18.077415439317033</v>
      </c>
    </row>
    <row r="12" spans="1:16" ht="15" thickBot="1" x14ac:dyDescent="0.4">
      <c r="A12" s="7">
        <v>52.28</v>
      </c>
      <c r="B12" s="3">
        <v>7380</v>
      </c>
      <c r="C12" s="3">
        <v>68.8</v>
      </c>
      <c r="D12" s="3">
        <v>894855</v>
      </c>
      <c r="E12" s="2">
        <f t="shared" si="0"/>
        <v>50.132479847579987</v>
      </c>
      <c r="F12" s="2">
        <f t="shared" si="1"/>
        <v>2.1475201524200145</v>
      </c>
      <c r="G12" s="2">
        <f t="shared" si="2"/>
        <v>4.6118428050500819</v>
      </c>
      <c r="K12" t="s">
        <v>56</v>
      </c>
    </row>
    <row r="13" spans="1:16" x14ac:dyDescent="0.35">
      <c r="A13" s="7">
        <v>51.98</v>
      </c>
      <c r="B13" s="6">
        <v>3187</v>
      </c>
      <c r="C13" s="6">
        <v>79.5</v>
      </c>
      <c r="D13" s="6">
        <v>268161</v>
      </c>
      <c r="E13" s="2">
        <f t="shared" si="0"/>
        <v>47.433978122617908</v>
      </c>
      <c r="F13" s="2">
        <f t="shared" si="1"/>
        <v>4.5460218773820884</v>
      </c>
      <c r="G13" s="2">
        <f t="shared" si="2"/>
        <v>20.666314909636569</v>
      </c>
      <c r="K13" s="13"/>
      <c r="L13" s="13" t="s">
        <v>61</v>
      </c>
      <c r="M13" s="13" t="s">
        <v>62</v>
      </c>
      <c r="N13" s="13" t="s">
        <v>63</v>
      </c>
      <c r="O13" s="13" t="s">
        <v>64</v>
      </c>
      <c r="P13" s="13" t="s">
        <v>65</v>
      </c>
    </row>
    <row r="14" spans="1:16" x14ac:dyDescent="0.35">
      <c r="A14" s="7">
        <v>50.27</v>
      </c>
      <c r="B14" s="3">
        <v>5683</v>
      </c>
      <c r="C14" s="3">
        <v>68.400000000000006</v>
      </c>
      <c r="D14" s="3">
        <v>888772</v>
      </c>
      <c r="E14" s="2">
        <f t="shared" si="0"/>
        <v>48.472164298626581</v>
      </c>
      <c r="F14" s="2">
        <f t="shared" si="1"/>
        <v>1.7978357013734225</v>
      </c>
      <c r="G14" s="2">
        <f t="shared" si="2"/>
        <v>3.2322132091328659</v>
      </c>
      <c r="K14" t="s">
        <v>57</v>
      </c>
      <c r="L14">
        <v>1</v>
      </c>
      <c r="M14">
        <v>7482.8954188504895</v>
      </c>
      <c r="N14">
        <v>7482.8954188504895</v>
      </c>
      <c r="O14">
        <v>46.891983815467661</v>
      </c>
      <c r="P14">
        <v>6.978987989255839E-8</v>
      </c>
    </row>
    <row r="15" spans="1:16" x14ac:dyDescent="0.35">
      <c r="A15" s="7">
        <v>46.27</v>
      </c>
      <c r="B15" s="6">
        <v>261</v>
      </c>
      <c r="C15" s="6">
        <v>76.599999999999994</v>
      </c>
      <c r="D15" s="6">
        <v>16806</v>
      </c>
      <c r="E15" s="2">
        <f t="shared" si="0"/>
        <v>42.094492775171616</v>
      </c>
      <c r="F15" s="2">
        <f t="shared" si="1"/>
        <v>4.1755072248283867</v>
      </c>
      <c r="G15" s="2">
        <f t="shared" si="2"/>
        <v>17.434860584594055</v>
      </c>
      <c r="K15" t="s">
        <v>58</v>
      </c>
      <c r="L15">
        <v>34</v>
      </c>
      <c r="M15">
        <v>5425.6276561495115</v>
      </c>
      <c r="N15">
        <v>159.5772840043974</v>
      </c>
    </row>
    <row r="16" spans="1:16" ht="15" thickBot="1" x14ac:dyDescent="0.4">
      <c r="A16" s="7">
        <v>46.08</v>
      </c>
      <c r="B16" s="3">
        <v>10159</v>
      </c>
      <c r="C16" s="3">
        <v>51.6</v>
      </c>
      <c r="D16" s="3">
        <v>1225284</v>
      </c>
      <c r="E16" s="2">
        <f t="shared" si="0"/>
        <v>46.899369679763595</v>
      </c>
      <c r="F16" s="2">
        <f t="shared" si="1"/>
        <v>-0.81936967976359654</v>
      </c>
      <c r="G16" s="2">
        <f t="shared" si="2"/>
        <v>0.67136667211589873</v>
      </c>
      <c r="K16" s="12" t="s">
        <v>59</v>
      </c>
      <c r="L16" s="12">
        <v>35</v>
      </c>
      <c r="M16" s="12">
        <v>12908.523075000001</v>
      </c>
      <c r="N16" s="12"/>
      <c r="O16" s="12"/>
      <c r="P16" s="12"/>
    </row>
    <row r="17" spans="1:19" ht="15" thickBot="1" x14ac:dyDescent="0.4">
      <c r="A17" s="7">
        <v>44.79</v>
      </c>
      <c r="B17" s="6">
        <v>6952</v>
      </c>
      <c r="C17" s="6">
        <v>58.5</v>
      </c>
      <c r="D17" s="6">
        <v>668830</v>
      </c>
      <c r="E17" s="2">
        <f t="shared" si="0"/>
        <v>43.786174829095685</v>
      </c>
      <c r="F17" s="2">
        <f t="shared" si="1"/>
        <v>1.0038251709043138</v>
      </c>
      <c r="G17" s="2">
        <f t="shared" si="2"/>
        <v>1.0076649737410748</v>
      </c>
    </row>
    <row r="18" spans="1:19" x14ac:dyDescent="0.35">
      <c r="A18" s="7">
        <v>44.08</v>
      </c>
      <c r="B18" s="3">
        <v>461</v>
      </c>
      <c r="C18" s="3">
        <v>71.900000000000006</v>
      </c>
      <c r="D18" s="3">
        <v>126596</v>
      </c>
      <c r="E18" s="2">
        <f t="shared" si="0"/>
        <v>40.855737747367037</v>
      </c>
      <c r="F18" s="2">
        <f t="shared" si="1"/>
        <v>3.2242622526329612</v>
      </c>
      <c r="G18" s="2">
        <f t="shared" si="2"/>
        <v>10.395867073753777</v>
      </c>
      <c r="K18" s="13"/>
      <c r="L18" s="13" t="s">
        <v>66</v>
      </c>
      <c r="M18" s="13" t="s">
        <v>54</v>
      </c>
      <c r="N18" s="13" t="s">
        <v>67</v>
      </c>
      <c r="O18" s="13" t="s">
        <v>68</v>
      </c>
      <c r="P18" s="13" t="s">
        <v>69</v>
      </c>
      <c r="Q18" s="13" t="s">
        <v>70</v>
      </c>
      <c r="R18" s="13" t="s">
        <v>71</v>
      </c>
      <c r="S18" s="13" t="s">
        <v>72</v>
      </c>
    </row>
    <row r="19" spans="1:19" x14ac:dyDescent="0.35">
      <c r="A19" s="7">
        <v>43.6</v>
      </c>
      <c r="B19" s="6">
        <v>288</v>
      </c>
      <c r="C19" s="6">
        <v>72</v>
      </c>
      <c r="D19" s="6">
        <v>32927</v>
      </c>
      <c r="E19" s="2">
        <f t="shared" si="0"/>
        <v>40.171979419633004</v>
      </c>
      <c r="F19" s="2">
        <f t="shared" si="1"/>
        <v>3.4280205803669972</v>
      </c>
      <c r="G19" s="2">
        <f t="shared" si="2"/>
        <v>11.751325099419685</v>
      </c>
      <c r="K19" t="s">
        <v>60</v>
      </c>
      <c r="L19">
        <v>29.871435842262976</v>
      </c>
      <c r="M19">
        <v>2.9096694821815223</v>
      </c>
      <c r="N19">
        <v>10.266264269942747</v>
      </c>
      <c r="O19">
        <v>5.9263094762168478E-12</v>
      </c>
      <c r="P19">
        <v>23.958276013170245</v>
      </c>
      <c r="Q19">
        <v>35.784595671355703</v>
      </c>
      <c r="R19">
        <v>23.958276013170245</v>
      </c>
      <c r="S19">
        <v>35.784595671355703</v>
      </c>
    </row>
    <row r="20" spans="1:19" ht="15" thickBot="1" x14ac:dyDescent="0.4">
      <c r="A20" s="7">
        <v>41.82</v>
      </c>
      <c r="B20" s="3">
        <v>3236</v>
      </c>
      <c r="C20" s="3">
        <v>62.7</v>
      </c>
      <c r="D20" s="3">
        <v>234070</v>
      </c>
      <c r="E20" s="2">
        <f t="shared" si="0"/>
        <v>39.793796864660038</v>
      </c>
      <c r="F20" s="2">
        <f t="shared" si="1"/>
        <v>2.0262031353399621</v>
      </c>
      <c r="G20" s="2">
        <f t="shared" si="2"/>
        <v>4.1054991456614927</v>
      </c>
      <c r="K20" s="12" t="s">
        <v>2</v>
      </c>
      <c r="L20" s="12">
        <v>2.950420781608125E-3</v>
      </c>
      <c r="M20" s="12">
        <v>4.3085849010233491E-4</v>
      </c>
      <c r="N20" s="12">
        <v>6.8477721789986283</v>
      </c>
      <c r="O20" s="12">
        <v>6.9789879892558893E-8</v>
      </c>
      <c r="P20" s="12">
        <v>2.074810980804732E-3</v>
      </c>
      <c r="Q20" s="12">
        <v>3.8260305824115181E-3</v>
      </c>
      <c r="R20" s="12">
        <v>2.074810980804732E-3</v>
      </c>
      <c r="S20" s="12">
        <v>3.8260305824115181E-3</v>
      </c>
    </row>
    <row r="21" spans="1:19" x14ac:dyDescent="0.35">
      <c r="A21" s="7">
        <v>41.46</v>
      </c>
      <c r="B21" s="6">
        <v>8226</v>
      </c>
      <c r="C21" s="6">
        <v>51.4</v>
      </c>
      <c r="D21" s="6">
        <v>568726</v>
      </c>
      <c r="E21" s="2">
        <f t="shared" si="0"/>
        <v>41.092765449889299</v>
      </c>
      <c r="F21" s="2">
        <f t="shared" si="1"/>
        <v>0.36723455011070172</v>
      </c>
      <c r="G21" s="2">
        <f t="shared" si="2"/>
        <v>0.13486121479500948</v>
      </c>
    </row>
    <row r="22" spans="1:19" x14ac:dyDescent="0.35">
      <c r="A22" s="7">
        <v>37.159999999999997</v>
      </c>
      <c r="B22" s="3">
        <v>5920</v>
      </c>
      <c r="C22" s="3">
        <v>48.1</v>
      </c>
      <c r="D22" s="3">
        <v>583925</v>
      </c>
      <c r="E22" s="2">
        <f t="shared" si="0"/>
        <v>37.756434299416362</v>
      </c>
      <c r="F22" s="2">
        <f t="shared" si="1"/>
        <v>-0.59643429941636583</v>
      </c>
      <c r="G22" s="2">
        <f t="shared" si="2"/>
        <v>0.35573387352029112</v>
      </c>
      <c r="L22">
        <f>L19+L20*B2</f>
        <v>73.632076875074688</v>
      </c>
    </row>
    <row r="23" spans="1:19" x14ac:dyDescent="0.35">
      <c r="A23" s="7">
        <v>36.909999999999997</v>
      </c>
      <c r="B23" s="6">
        <v>1996</v>
      </c>
      <c r="C23" s="6">
        <v>56.9</v>
      </c>
      <c r="D23" s="6">
        <v>191982</v>
      </c>
      <c r="E23" s="2">
        <f t="shared" si="0"/>
        <v>35.898016577332811</v>
      </c>
      <c r="F23" s="2">
        <f t="shared" si="1"/>
        <v>1.0119834226671856</v>
      </c>
      <c r="G23" s="2">
        <f t="shared" si="2"/>
        <v>1.0241104477531915</v>
      </c>
    </row>
    <row r="24" spans="1:19" x14ac:dyDescent="0.35">
      <c r="A24" s="10">
        <v>31.55</v>
      </c>
      <c r="B24" s="3">
        <v>231</v>
      </c>
      <c r="C24" s="3">
        <v>52.1</v>
      </c>
      <c r="D24" s="3">
        <v>18789</v>
      </c>
      <c r="E24" s="2">
        <f t="shared" si="0"/>
        <v>31.186828781351409</v>
      </c>
      <c r="F24" s="2">
        <f t="shared" si="1"/>
        <v>0.36317121864859203</v>
      </c>
      <c r="G24" s="2">
        <f t="shared" si="2"/>
        <v>0.13189333405470344</v>
      </c>
    </row>
    <row r="25" spans="1:19" x14ac:dyDescent="0.35">
      <c r="A25" s="10">
        <v>31.41</v>
      </c>
      <c r="B25" s="6">
        <v>76</v>
      </c>
      <c r="C25" s="6">
        <v>52.2</v>
      </c>
      <c r="D25" s="6">
        <v>8549</v>
      </c>
      <c r="E25" s="2">
        <f t="shared" si="0"/>
        <v>31.035829026213463</v>
      </c>
      <c r="F25" s="2">
        <f t="shared" si="1"/>
        <v>0.37417097378653708</v>
      </c>
      <c r="G25" s="2">
        <f t="shared" si="2"/>
        <v>0.14000391762436543</v>
      </c>
    </row>
    <row r="26" spans="1:19" x14ac:dyDescent="0.35">
      <c r="A26" s="10">
        <v>31.19</v>
      </c>
      <c r="B26" s="3">
        <v>241</v>
      </c>
      <c r="C26" s="3">
        <v>51.5</v>
      </c>
      <c r="D26" s="3">
        <v>17462</v>
      </c>
      <c r="E26" s="2">
        <f t="shared" si="0"/>
        <v>30.920309793290116</v>
      </c>
      <c r="F26" s="2">
        <f t="shared" si="1"/>
        <v>0.26969020670988542</v>
      </c>
      <c r="G26" s="2">
        <f t="shared" si="2"/>
        <v>7.273280759522073E-2</v>
      </c>
    </row>
    <row r="27" spans="1:19" x14ac:dyDescent="0.35">
      <c r="A27" s="10">
        <v>28.58</v>
      </c>
      <c r="B27" s="6">
        <v>3518</v>
      </c>
      <c r="C27" s="6">
        <v>39.299999999999997</v>
      </c>
      <c r="D27" s="6">
        <v>367362</v>
      </c>
      <c r="E27" s="2">
        <f t="shared" si="0"/>
        <v>30.45527832795381</v>
      </c>
      <c r="F27" s="2">
        <f t="shared" si="1"/>
        <v>-1.8752783279538114</v>
      </c>
      <c r="G27" s="2">
        <f t="shared" si="2"/>
        <v>3.5166688072932426</v>
      </c>
      <c r="K27" t="s">
        <v>49</v>
      </c>
    </row>
    <row r="28" spans="1:19" ht="15" thickBot="1" x14ac:dyDescent="0.4">
      <c r="A28" s="10">
        <v>28.23</v>
      </c>
      <c r="B28" s="3">
        <v>2343</v>
      </c>
      <c r="C28" s="3">
        <v>41.5</v>
      </c>
      <c r="D28" s="3">
        <v>246010</v>
      </c>
      <c r="E28" s="2">
        <f t="shared" si="0"/>
        <v>29.680594705320651</v>
      </c>
      <c r="F28" s="2">
        <f t="shared" si="1"/>
        <v>-1.4505947053206505</v>
      </c>
      <c r="G28" s="2">
        <f t="shared" si="2"/>
        <v>2.1042249991043049</v>
      </c>
    </row>
    <row r="29" spans="1:19" x14ac:dyDescent="0.35">
      <c r="A29" s="10">
        <v>27.1</v>
      </c>
      <c r="B29" s="6">
        <v>113</v>
      </c>
      <c r="C29" s="6">
        <v>44.9</v>
      </c>
      <c r="D29" s="6">
        <v>16965</v>
      </c>
      <c r="E29" s="2">
        <f t="shared" si="0"/>
        <v>27.873432074869445</v>
      </c>
      <c r="F29" s="2">
        <f t="shared" si="1"/>
        <v>-0.77343207486944365</v>
      </c>
      <c r="G29" s="2">
        <f t="shared" si="2"/>
        <v>0.59819717443685272</v>
      </c>
      <c r="K29" s="14" t="s">
        <v>50</v>
      </c>
      <c r="L29" s="14"/>
    </row>
    <row r="30" spans="1:19" x14ac:dyDescent="0.35">
      <c r="A30" s="10">
        <v>26.72</v>
      </c>
      <c r="B30" s="3">
        <v>646</v>
      </c>
      <c r="C30" s="3">
        <v>43.2</v>
      </c>
      <c r="D30" s="3">
        <v>42140</v>
      </c>
      <c r="E30" s="2">
        <f t="shared" si="0"/>
        <v>27.727393258361612</v>
      </c>
      <c r="F30" s="2">
        <f t="shared" si="1"/>
        <v>-1.0073932583616134</v>
      </c>
      <c r="G30" s="2">
        <f t="shared" si="2"/>
        <v>1.0148411769924284</v>
      </c>
      <c r="K30" t="s">
        <v>51</v>
      </c>
      <c r="L30">
        <v>0.96079686288025257</v>
      </c>
    </row>
    <row r="31" spans="1:19" x14ac:dyDescent="0.35">
      <c r="A31" s="10">
        <v>26.27</v>
      </c>
      <c r="B31" s="6">
        <v>185</v>
      </c>
      <c r="C31" s="6">
        <v>43.4</v>
      </c>
      <c r="D31" s="6">
        <v>16290</v>
      </c>
      <c r="E31" s="2">
        <f t="shared" si="0"/>
        <v>27.263536510095175</v>
      </c>
      <c r="F31" s="2">
        <f t="shared" si="1"/>
        <v>-0.99353651009517563</v>
      </c>
      <c r="G31" s="2">
        <f t="shared" si="2"/>
        <v>0.98711479689210102</v>
      </c>
      <c r="K31" t="s">
        <v>52</v>
      </c>
      <c r="L31">
        <v>0.92313061172053479</v>
      </c>
    </row>
    <row r="32" spans="1:19" x14ac:dyDescent="0.35">
      <c r="A32" s="10">
        <v>26.1</v>
      </c>
      <c r="B32" s="3">
        <v>103</v>
      </c>
      <c r="C32" s="3">
        <v>43.3</v>
      </c>
      <c r="D32" s="3">
        <v>9885</v>
      </c>
      <c r="E32" s="2">
        <f t="shared" si="0"/>
        <v>27.10953537553608</v>
      </c>
      <c r="F32" s="2">
        <f t="shared" si="1"/>
        <v>-1.0095353755360783</v>
      </c>
      <c r="G32" s="2">
        <f t="shared" si="2"/>
        <v>1.0191616744587706</v>
      </c>
      <c r="K32" t="s">
        <v>53</v>
      </c>
      <c r="L32">
        <v>0.91847186091571864</v>
      </c>
    </row>
    <row r="33" spans="1:19" x14ac:dyDescent="0.35">
      <c r="A33" s="10">
        <v>25.15</v>
      </c>
      <c r="B33" s="6">
        <v>1819</v>
      </c>
      <c r="C33" s="6">
        <v>37.799999999999997</v>
      </c>
      <c r="D33" s="6">
        <v>162531</v>
      </c>
      <c r="E33" s="2">
        <f t="shared" si="0"/>
        <v>27.071468998725432</v>
      </c>
      <c r="F33" s="2">
        <f t="shared" si="1"/>
        <v>-1.9214689987254339</v>
      </c>
      <c r="G33" s="2">
        <f t="shared" si="2"/>
        <v>3.6920431130629212</v>
      </c>
      <c r="K33" t="s">
        <v>54</v>
      </c>
      <c r="L33">
        <v>5.48350217765267</v>
      </c>
    </row>
    <row r="34" spans="1:19" ht="15" thickBot="1" x14ac:dyDescent="0.4">
      <c r="A34" s="10">
        <v>24.71</v>
      </c>
      <c r="B34" s="3">
        <v>394</v>
      </c>
      <c r="C34" s="3">
        <v>40.299999999999997</v>
      </c>
      <c r="D34" s="3">
        <v>37779</v>
      </c>
      <c r="E34" s="2">
        <f t="shared" si="0"/>
        <v>26.196264923466646</v>
      </c>
      <c r="F34" s="2">
        <f t="shared" si="1"/>
        <v>-1.4862649234666456</v>
      </c>
      <c r="G34" s="2">
        <f t="shared" si="2"/>
        <v>2.208983422727314</v>
      </c>
      <c r="K34" s="12" t="s">
        <v>55</v>
      </c>
      <c r="L34" s="12">
        <v>36</v>
      </c>
    </row>
    <row r="35" spans="1:19" x14ac:dyDescent="0.35">
      <c r="A35" s="10">
        <v>18.940000000000001</v>
      </c>
      <c r="B35" s="6">
        <v>229</v>
      </c>
      <c r="C35" s="6">
        <v>31</v>
      </c>
      <c r="D35" s="6">
        <v>33114</v>
      </c>
      <c r="E35" s="2">
        <f t="shared" si="0"/>
        <v>21.891427543257606</v>
      </c>
      <c r="F35" s="2">
        <f t="shared" si="1"/>
        <v>-2.9514275432576049</v>
      </c>
      <c r="G35" s="2">
        <f t="shared" si="2"/>
        <v>8.7109245430996207</v>
      </c>
    </row>
    <row r="36" spans="1:19" ht="15" thickBot="1" x14ac:dyDescent="0.4">
      <c r="A36" s="10">
        <v>17.170000000000002</v>
      </c>
      <c r="B36" s="3">
        <v>690</v>
      </c>
      <c r="C36" s="3">
        <v>26.7</v>
      </c>
      <c r="D36" s="3">
        <v>120662</v>
      </c>
      <c r="E36" s="2">
        <f t="shared" si="0"/>
        <v>20.91479280804559</v>
      </c>
      <c r="F36" s="2">
        <f t="shared" si="1"/>
        <v>-3.7447928080455881</v>
      </c>
      <c r="G36" s="2">
        <f t="shared" si="2"/>
        <v>14.023473175189961</v>
      </c>
      <c r="K36" t="s">
        <v>56</v>
      </c>
    </row>
    <row r="37" spans="1:19" x14ac:dyDescent="0.35">
      <c r="A37" s="10">
        <v>7.62</v>
      </c>
      <c r="B37" s="6">
        <v>17</v>
      </c>
      <c r="C37" s="6">
        <v>12.7</v>
      </c>
      <c r="D37" s="6">
        <v>1540</v>
      </c>
      <c r="E37" s="2">
        <f t="shared" si="0"/>
        <v>13.377652348187009</v>
      </c>
      <c r="F37" s="2">
        <f t="shared" si="1"/>
        <v>-5.7576523481870092</v>
      </c>
      <c r="G37" s="2">
        <f t="shared" si="2"/>
        <v>33.150560562583379</v>
      </c>
      <c r="K37" s="13"/>
      <c r="L37" s="13" t="s">
        <v>61</v>
      </c>
      <c r="M37" s="13" t="s">
        <v>62</v>
      </c>
      <c r="N37" s="13" t="s">
        <v>63</v>
      </c>
      <c r="O37" s="13" t="s">
        <v>64</v>
      </c>
      <c r="P37" s="13" t="s">
        <v>65</v>
      </c>
    </row>
    <row r="38" spans="1:19" x14ac:dyDescent="0.35">
      <c r="K38" t="s">
        <v>57</v>
      </c>
      <c r="L38">
        <v>2</v>
      </c>
      <c r="M38">
        <v>11916.252802633389</v>
      </c>
      <c r="N38">
        <v>5958.1264013166947</v>
      </c>
      <c r="O38">
        <v>198.14981534668698</v>
      </c>
      <c r="P38">
        <v>4.1203253717191243E-19</v>
      </c>
    </row>
    <row r="39" spans="1:19" x14ac:dyDescent="0.35">
      <c r="K39" t="s">
        <v>58</v>
      </c>
      <c r="L39">
        <v>33</v>
      </c>
      <c r="M39">
        <v>992.27027236661183</v>
      </c>
      <c r="N39">
        <v>30.06879613232157</v>
      </c>
    </row>
    <row r="40" spans="1:19" ht="15" thickBot="1" x14ac:dyDescent="0.4">
      <c r="K40" s="12" t="s">
        <v>59</v>
      </c>
      <c r="L40" s="12">
        <v>35</v>
      </c>
      <c r="M40" s="12">
        <v>12908.523075000001</v>
      </c>
      <c r="N40" s="12"/>
      <c r="O40" s="12"/>
      <c r="P40" s="12"/>
    </row>
    <row r="41" spans="1:19" ht="15" thickBot="1" x14ac:dyDescent="0.4"/>
    <row r="42" spans="1:19" x14ac:dyDescent="0.35">
      <c r="K42" s="13"/>
      <c r="L42" s="13" t="s">
        <v>66</v>
      </c>
      <c r="M42" s="13" t="s">
        <v>54</v>
      </c>
      <c r="N42" s="13" t="s">
        <v>67</v>
      </c>
      <c r="O42" s="13" t="s">
        <v>68</v>
      </c>
      <c r="P42" s="13" t="s">
        <v>69</v>
      </c>
      <c r="Q42" s="13" t="s">
        <v>70</v>
      </c>
      <c r="R42" s="13" t="s">
        <v>71</v>
      </c>
      <c r="S42" s="13" t="s">
        <v>72</v>
      </c>
    </row>
    <row r="43" spans="1:19" x14ac:dyDescent="0.35">
      <c r="K43" t="s">
        <v>60</v>
      </c>
      <c r="L43">
        <v>6.3603290138863926</v>
      </c>
      <c r="M43">
        <v>2.3117923586009574</v>
      </c>
      <c r="N43">
        <v>2.7512544499176017</v>
      </c>
      <c r="O43">
        <v>9.5657219167519653E-3</v>
      </c>
      <c r="P43">
        <v>1.6569520957862549</v>
      </c>
      <c r="Q43">
        <v>11.063705931986529</v>
      </c>
      <c r="R43">
        <v>1.6569520957862549</v>
      </c>
      <c r="S43">
        <v>11.063705931986529</v>
      </c>
    </row>
    <row r="44" spans="1:19" x14ac:dyDescent="0.35">
      <c r="K44" t="s">
        <v>2</v>
      </c>
      <c r="L44">
        <v>1.7321451628019245E-3</v>
      </c>
      <c r="M44">
        <v>2.1224033601789595E-4</v>
      </c>
      <c r="N44">
        <v>8.1612439713432767</v>
      </c>
      <c r="O44">
        <v>2.0165080022069624E-9</v>
      </c>
      <c r="P44">
        <v>1.3003389524377271E-3</v>
      </c>
      <c r="Q44">
        <v>2.163951373166122E-3</v>
      </c>
      <c r="R44">
        <v>1.3003389524377271E-3</v>
      </c>
      <c r="S44">
        <v>2.163951373166122E-3</v>
      </c>
    </row>
    <row r="45" spans="1:19" ht="15" thickBot="1" x14ac:dyDescent="0.4">
      <c r="K45" s="12" t="s">
        <v>3</v>
      </c>
      <c r="L45" s="12">
        <v>0.46507360226198269</v>
      </c>
      <c r="M45" s="12">
        <v>3.8301284467018547E-2</v>
      </c>
      <c r="N45" s="12">
        <v>12.142506673959204</v>
      </c>
      <c r="O45" s="12">
        <v>1.0150447107731026E-13</v>
      </c>
      <c r="P45" s="12">
        <v>0.3871490531018747</v>
      </c>
      <c r="Q45" s="12">
        <v>0.54299815142209074</v>
      </c>
      <c r="R45" s="12">
        <v>0.3871490531018747</v>
      </c>
      <c r="S45" s="12">
        <v>0.54299815142209074</v>
      </c>
    </row>
    <row r="50" spans="11:16" x14ac:dyDescent="0.35">
      <c r="K50" t="s">
        <v>49</v>
      </c>
    </row>
    <row r="51" spans="11:16" ht="15" thickBot="1" x14ac:dyDescent="0.4"/>
    <row r="52" spans="11:16" x14ac:dyDescent="0.35">
      <c r="K52" s="14" t="s">
        <v>50</v>
      </c>
      <c r="L52" s="14"/>
    </row>
    <row r="53" spans="11:16" x14ac:dyDescent="0.35">
      <c r="K53" t="s">
        <v>51</v>
      </c>
      <c r="L53">
        <v>0.98274981487203428</v>
      </c>
    </row>
    <row r="54" spans="11:16" x14ac:dyDescent="0.35">
      <c r="K54" t="s">
        <v>52</v>
      </c>
      <c r="L54">
        <v>0.96579719863101765</v>
      </c>
    </row>
    <row r="55" spans="11:16" x14ac:dyDescent="0.35">
      <c r="K55" t="s">
        <v>53</v>
      </c>
      <c r="L55">
        <v>0.96259068600267561</v>
      </c>
    </row>
    <row r="56" spans="11:16" x14ac:dyDescent="0.35">
      <c r="K56" t="s">
        <v>54</v>
      </c>
      <c r="L56">
        <v>3.7144466727106176</v>
      </c>
    </row>
    <row r="57" spans="11:16" ht="15" thickBot="1" x14ac:dyDescent="0.4">
      <c r="K57" s="12" t="s">
        <v>55</v>
      </c>
      <c r="L57" s="12">
        <v>36</v>
      </c>
    </row>
    <row r="59" spans="11:16" ht="15" thickBot="1" x14ac:dyDescent="0.4">
      <c r="K59" t="s">
        <v>56</v>
      </c>
    </row>
    <row r="60" spans="11:16" x14ac:dyDescent="0.35">
      <c r="K60" s="13"/>
      <c r="L60" s="13" t="s">
        <v>61</v>
      </c>
      <c r="M60" s="13" t="s">
        <v>62</v>
      </c>
      <c r="N60" s="13" t="s">
        <v>63</v>
      </c>
      <c r="O60" s="13" t="s">
        <v>64</v>
      </c>
      <c r="P60" s="13" t="s">
        <v>65</v>
      </c>
    </row>
    <row r="61" spans="11:16" x14ac:dyDescent="0.35">
      <c r="K61" t="s">
        <v>57</v>
      </c>
      <c r="L61">
        <v>3</v>
      </c>
      <c r="M61">
        <v>12467.01542429885</v>
      </c>
      <c r="N61">
        <v>4155.671808099617</v>
      </c>
      <c r="O61">
        <v>301.1986262253937</v>
      </c>
      <c r="P61">
        <v>1.5935589691398189E-23</v>
      </c>
    </row>
    <row r="62" spans="11:16" x14ac:dyDescent="0.35">
      <c r="K62" t="s">
        <v>58</v>
      </c>
      <c r="L62">
        <v>32</v>
      </c>
      <c r="M62">
        <v>441.50765070115131</v>
      </c>
      <c r="N62">
        <v>13.797114084410978</v>
      </c>
    </row>
    <row r="63" spans="11:16" ht="15" thickBot="1" x14ac:dyDescent="0.4">
      <c r="K63" s="12" t="s">
        <v>59</v>
      </c>
      <c r="L63" s="12">
        <v>35</v>
      </c>
      <c r="M63" s="12">
        <v>12908.523075000001</v>
      </c>
      <c r="N63" s="12"/>
      <c r="O63" s="12"/>
      <c r="P63" s="12"/>
    </row>
    <row r="64" spans="11:16" ht="15" thickBot="1" x14ac:dyDescent="0.4"/>
    <row r="65" spans="11:19" x14ac:dyDescent="0.35">
      <c r="K65" s="13"/>
      <c r="L65" s="13" t="s">
        <v>66</v>
      </c>
      <c r="M65" s="13" t="s">
        <v>54</v>
      </c>
      <c r="N65" s="13" t="s">
        <v>67</v>
      </c>
      <c r="O65" s="13" t="s">
        <v>68</v>
      </c>
      <c r="P65" s="13" t="s">
        <v>69</v>
      </c>
      <c r="Q65" s="13" t="s">
        <v>70</v>
      </c>
      <c r="R65" s="13" t="s">
        <v>71</v>
      </c>
      <c r="S65" s="13" t="s">
        <v>72</v>
      </c>
    </row>
    <row r="66" spans="11:19" x14ac:dyDescent="0.35">
      <c r="K66" t="s">
        <v>60</v>
      </c>
      <c r="L66">
        <v>7.706315435233825</v>
      </c>
      <c r="M66">
        <v>1.5803996823127355</v>
      </c>
      <c r="N66">
        <v>4.8761813365822162</v>
      </c>
      <c r="O66">
        <v>2.8470430841374906E-5</v>
      </c>
      <c r="P66">
        <v>4.487146626337263</v>
      </c>
      <c r="Q66">
        <v>10.925484244130388</v>
      </c>
      <c r="R66">
        <v>4.487146626337263</v>
      </c>
      <c r="S66">
        <v>10.925484244130388</v>
      </c>
    </row>
    <row r="67" spans="11:19" x14ac:dyDescent="0.35">
      <c r="K67" t="s">
        <v>2</v>
      </c>
      <c r="L67">
        <v>8.5133770612629792E-4</v>
      </c>
      <c r="M67">
        <v>2.0026098895308943E-4</v>
      </c>
      <c r="N67">
        <v>4.2511410264019087</v>
      </c>
      <c r="O67">
        <v>1.7209493648755761E-4</v>
      </c>
      <c r="P67">
        <v>4.4341942033345507E-4</v>
      </c>
      <c r="Q67">
        <v>1.2592559919191407E-3</v>
      </c>
      <c r="R67">
        <v>4.4341942033345507E-4</v>
      </c>
      <c r="S67">
        <v>1.2592559919191407E-3</v>
      </c>
    </row>
    <row r="68" spans="11:19" x14ac:dyDescent="0.35">
      <c r="K68" t="s">
        <v>3</v>
      </c>
      <c r="L68">
        <v>0.44467031081164682</v>
      </c>
      <c r="M68">
        <v>2.6144951207681667E-2</v>
      </c>
      <c r="N68">
        <v>17.007884515806552</v>
      </c>
      <c r="O68">
        <v>1.3799742005507208E-17</v>
      </c>
      <c r="P68">
        <v>0.39141478793358259</v>
      </c>
      <c r="Q68">
        <v>0.49792583368971105</v>
      </c>
      <c r="R68">
        <v>0.39141478793358259</v>
      </c>
      <c r="S68">
        <v>0.49792583368971105</v>
      </c>
    </row>
    <row r="69" spans="11:19" ht="15" thickBot="1" x14ac:dyDescent="0.4">
      <c r="K69" s="12" t="s">
        <v>4</v>
      </c>
      <c r="L69" s="12">
        <v>6.2020939228062501E-6</v>
      </c>
      <c r="M69" s="12">
        <v>9.8163545776541966E-7</v>
      </c>
      <c r="N69" s="12">
        <v>6.3181233662082708</v>
      </c>
      <c r="O69" s="12">
        <v>4.335212820869532E-7</v>
      </c>
      <c r="P69" s="12">
        <v>4.2025679277611468E-6</v>
      </c>
      <c r="Q69" s="12">
        <v>8.2016199178513542E-6</v>
      </c>
      <c r="R69" s="12">
        <v>4.2025679277611468E-6</v>
      </c>
      <c r="S69" s="12">
        <v>8.2016199178513542E-6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Financial_Inclusion_Dataset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GOKULA VARSHINI R</cp:lastModifiedBy>
  <dcterms:created xsi:type="dcterms:W3CDTF">2026-04-22T03:51:09Z</dcterms:created>
  <dcterms:modified xsi:type="dcterms:W3CDTF">2026-04-23T15:51:03Z</dcterms:modified>
</cp:coreProperties>
</file>